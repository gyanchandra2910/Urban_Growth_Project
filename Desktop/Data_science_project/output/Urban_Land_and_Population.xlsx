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kkd\Downloads\"/>
    </mc:Choice>
  </mc:AlternateContent>
  <xr:revisionPtr revIDLastSave="0" documentId="13_ncr:1_{46B3B125-3811-4259-9B4F-A65F6A3BC7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pul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5" i="1"/>
  <c r="E25" i="1"/>
  <c r="F24" i="1"/>
  <c r="E24" i="1"/>
  <c r="E23" i="1"/>
  <c r="F22" i="1"/>
  <c r="E22" i="1"/>
  <c r="F21" i="1"/>
  <c r="E21" i="1"/>
  <c r="E20" i="1"/>
  <c r="F19" i="1"/>
  <c r="E19" i="1"/>
  <c r="F18" i="1"/>
  <c r="E18" i="1"/>
  <c r="E17" i="1"/>
  <c r="F16" i="1"/>
  <c r="E16" i="1"/>
  <c r="F15" i="1"/>
  <c r="E15" i="1"/>
  <c r="E14" i="1"/>
  <c r="F13" i="1"/>
  <c r="E13" i="1"/>
  <c r="F12" i="1"/>
  <c r="E12" i="1"/>
  <c r="E11" i="1"/>
  <c r="F10" i="1"/>
  <c r="E10" i="1"/>
  <c r="F9" i="1"/>
  <c r="E9" i="1"/>
  <c r="E8" i="1"/>
  <c r="F7" i="1"/>
  <c r="E7" i="1"/>
  <c r="F6" i="1"/>
  <c r="E6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<sst xmlns="http://schemas.openxmlformats.org/spreadsheetml/2006/main" count="32" uniqueCount="16">
  <si>
    <t>City</t>
  </si>
  <si>
    <t>Year</t>
  </si>
  <si>
    <t>Population</t>
  </si>
  <si>
    <t>Area_km2</t>
  </si>
  <si>
    <t>Density</t>
  </si>
  <si>
    <t>Growth_%</t>
  </si>
  <si>
    <t>Delhi</t>
  </si>
  <si>
    <t>Mumbai</t>
  </si>
  <si>
    <t>Kolkata</t>
  </si>
  <si>
    <t>Chennai</t>
  </si>
  <si>
    <t>Bengaluru</t>
  </si>
  <si>
    <t>Jaipur</t>
  </si>
  <si>
    <t>Lucknow</t>
  </si>
  <si>
    <t>Ranchi</t>
  </si>
  <si>
    <t>218.26</t>
  </si>
  <si>
    <t>484.64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</si>
</sst>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3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1" applyNumberFormat="1" applyFont="1" applyFill="1" applyBorder="1"/>
    <xf numFmtId="165" fontId="3" fillId="0" borderId="0" xfId="1" applyNumberFormat="1" applyFont="1" applyFill="1"/>
    <xf numFmtId="2" fontId="3" fillId="0" borderId="0" xfId="0" applyNumberFormat="1" applyFont="1"/>
    <xf numFmtId="3" fontId="3" fillId="0" borderId="0" xfId="1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3" fontId="3" fillId="0" borderId="0" xfId="5" applyNumberFormat="1" applyAlignment="1">
      <alignment wrapText="1"/>
    </xf>
    <xf numFmtId="2" fontId="3" fillId="0" borderId="0" xfId="5" applyNumberFormat="1" applyAlignment="1">
      <alignment horizontal="right" wrapText="1"/>
    </xf>
    <xf numFmtId="3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3" fontId="3" fillId="0" borderId="0" xfId="1" applyNumberFormat="1" applyFont="1" applyFill="1" applyBorder="1" applyAlignment="1">
      <alignment horizontal="right" wrapText="1"/>
    </xf>
    <xf numFmtId="2" fontId="3" fillId="0" borderId="0" xfId="0" applyNumberFormat="1" applyFont="1" applyAlignment="1">
      <alignment horizontal="right" wrapText="1"/>
    </xf>
  </cellXfs>
  <cellStyles count="9">
    <cellStyle name="Comma" xfId="1" builtinId="3"/>
    <cellStyle name="Comma 10" xfId="7" xr:uid="{190CA316-5A44-4A2D-9173-9C47FD8DC496}"/>
    <cellStyle name="Comma 12" xfId="4" xr:uid="{B9FD850B-3929-4867-AD4B-12E2558FD19B}"/>
    <cellStyle name="Comma 2" xfId="8" xr:uid="{9AA3FA6E-0A7B-46E3-A322-9EAE4ACC3FEB}"/>
    <cellStyle name="Comma 2 2" xfId="6" xr:uid="{26EB325A-663B-476A-BAA4-84C50926AFAB}"/>
    <cellStyle name="Normal" xfId="0" builtinId="0"/>
    <cellStyle name="Normal 2" xfId="2" xr:uid="{4B3375FE-1946-494C-9B58-606A44AB7D5E}"/>
    <cellStyle name="Normal 3" xfId="3" xr:uid="{72A2A340-8CAB-4A32-8F9B-8705D11E5BC6}"/>
    <cellStyle name="Normal 5" xfId="5" xr:uid="{E5AA621C-FB89-410B-AE9F-87BEF89DABB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M12" sqref="M12"/>
    </sheetView>
  </sheetViews>
  <sheetFormatPr defaultRowHeight="14.4" x14ac:dyDescent="0.3"/>
  <cols>
    <col min="3" max="3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1991</v>
      </c>
      <c r="C2">
        <v>7818883</v>
      </c>
      <c r="D2">
        <v>530.33000000000004</v>
      </c>
      <c r="E2">
        <f t="shared" ref="E2:E25" si="0">C2/D2</f>
        <v>14743.429562725094</v>
      </c>
    </row>
    <row r="3" spans="1:6" x14ac:dyDescent="0.3">
      <c r="A3" t="s">
        <v>6</v>
      </c>
      <c r="B3">
        <v>2001</v>
      </c>
      <c r="C3">
        <v>10306452</v>
      </c>
      <c r="D3">
        <v>639.78</v>
      </c>
      <c r="E3">
        <f t="shared" si="0"/>
        <v>16109.368845540655</v>
      </c>
      <c r="F3">
        <f>((C3-C2)/C2)*100</f>
        <v>31.814889671580964</v>
      </c>
    </row>
    <row r="4" spans="1:6" x14ac:dyDescent="0.3">
      <c r="A4" t="s">
        <v>6</v>
      </c>
      <c r="B4">
        <v>2011</v>
      </c>
      <c r="C4">
        <v>11402709</v>
      </c>
      <c r="D4">
        <v>646.58000000000004</v>
      </c>
      <c r="E4">
        <f t="shared" si="0"/>
        <v>17635.418664357079</v>
      </c>
      <c r="F4">
        <f>((C4-C3)/C3)*100</f>
        <v>10.636608990174311</v>
      </c>
    </row>
    <row r="5" spans="1:6" x14ac:dyDescent="0.3">
      <c r="A5" t="s">
        <v>7</v>
      </c>
      <c r="B5">
        <v>1991</v>
      </c>
      <c r="C5" s="2">
        <v>9925891</v>
      </c>
      <c r="D5" s="3">
        <v>466.35</v>
      </c>
      <c r="E5">
        <f t="shared" si="0"/>
        <v>21284.209284871875</v>
      </c>
    </row>
    <row r="6" spans="1:6" x14ac:dyDescent="0.3">
      <c r="A6" t="s">
        <v>7</v>
      </c>
      <c r="B6">
        <v>2001</v>
      </c>
      <c r="C6" s="2">
        <v>11978450</v>
      </c>
      <c r="D6" s="3">
        <v>603</v>
      </c>
      <c r="E6">
        <f t="shared" si="0"/>
        <v>19864.759535655059</v>
      </c>
      <c r="F6">
        <f>((C6-C5)/C5)*100</f>
        <v>20.678838806511173</v>
      </c>
    </row>
    <row r="7" spans="1:6" x14ac:dyDescent="0.3">
      <c r="A7" t="s">
        <v>7</v>
      </c>
      <c r="B7">
        <v>2011</v>
      </c>
      <c r="C7" s="2">
        <v>12442373</v>
      </c>
      <c r="D7" s="3">
        <v>603</v>
      </c>
      <c r="E7">
        <f t="shared" si="0"/>
        <v>20634.117744610281</v>
      </c>
      <c r="F7">
        <f>((C7-C6)/C6)*100</f>
        <v>3.8729802269909714</v>
      </c>
    </row>
    <row r="8" spans="1:6" x14ac:dyDescent="0.3">
      <c r="A8" t="s">
        <v>8</v>
      </c>
      <c r="B8">
        <v>1991</v>
      </c>
      <c r="C8" s="5">
        <v>4399819</v>
      </c>
      <c r="D8" s="6">
        <v>185</v>
      </c>
      <c r="E8">
        <f t="shared" si="0"/>
        <v>23782.805405405405</v>
      </c>
    </row>
    <row r="9" spans="1:6" x14ac:dyDescent="0.3">
      <c r="A9" t="s">
        <v>8</v>
      </c>
      <c r="B9">
        <v>2001</v>
      </c>
      <c r="C9" s="4">
        <v>4580546</v>
      </c>
      <c r="D9" s="6">
        <v>186.23</v>
      </c>
      <c r="E9">
        <f t="shared" si="0"/>
        <v>24596.176770659938</v>
      </c>
      <c r="F9">
        <f>((C9-C8)/C8)*100</f>
        <v>4.1076007899415856</v>
      </c>
    </row>
    <row r="10" spans="1:6" x14ac:dyDescent="0.3">
      <c r="A10" t="s">
        <v>8</v>
      </c>
      <c r="B10">
        <v>2011</v>
      </c>
      <c r="C10" s="4">
        <v>4496694</v>
      </c>
      <c r="D10" s="6">
        <v>185</v>
      </c>
      <c r="E10">
        <f t="shared" si="0"/>
        <v>24306.454054054055</v>
      </c>
      <c r="F10">
        <f>((C10-C9)/C9)*100</f>
        <v>-1.8306114598565324</v>
      </c>
    </row>
    <row r="11" spans="1:6" x14ac:dyDescent="0.3">
      <c r="A11" t="s">
        <v>9</v>
      </c>
      <c r="B11">
        <v>1991</v>
      </c>
      <c r="C11" s="7">
        <v>3841396</v>
      </c>
      <c r="D11" s="9">
        <v>174</v>
      </c>
      <c r="E11">
        <f t="shared" si="0"/>
        <v>22076.988505747126</v>
      </c>
    </row>
    <row r="12" spans="1:6" x14ac:dyDescent="0.3">
      <c r="A12" t="s">
        <v>9</v>
      </c>
      <c r="B12">
        <v>2001</v>
      </c>
      <c r="C12" s="7">
        <v>4343645</v>
      </c>
      <c r="D12" s="9">
        <v>174</v>
      </c>
      <c r="E12">
        <f t="shared" si="0"/>
        <v>24963.477011494251</v>
      </c>
      <c r="F12">
        <f>((C12-C11)/C11)*100</f>
        <v>13.074647862391691</v>
      </c>
    </row>
    <row r="13" spans="1:6" x14ac:dyDescent="0.3">
      <c r="A13" t="s">
        <v>9</v>
      </c>
      <c r="B13">
        <v>2011</v>
      </c>
      <c r="C13" s="8">
        <v>4646732</v>
      </c>
      <c r="D13" s="9">
        <v>175</v>
      </c>
      <c r="E13">
        <f t="shared" si="0"/>
        <v>26552.754285714287</v>
      </c>
      <c r="F13">
        <f>((C13-C12)/C12)*100</f>
        <v>6.9777111158945999</v>
      </c>
    </row>
    <row r="14" spans="1:6" x14ac:dyDescent="0.3">
      <c r="A14" t="s">
        <v>10</v>
      </c>
      <c r="B14">
        <v>1991</v>
      </c>
      <c r="C14" s="10">
        <v>4126016</v>
      </c>
      <c r="D14" s="11">
        <v>437.64630000000005</v>
      </c>
      <c r="E14">
        <f t="shared" si="0"/>
        <v>9427.7410776693414</v>
      </c>
    </row>
    <row r="15" spans="1:6" x14ac:dyDescent="0.3">
      <c r="A15" t="s">
        <v>10</v>
      </c>
      <c r="B15">
        <v>2001</v>
      </c>
      <c r="C15" s="10">
        <v>5682293</v>
      </c>
      <c r="D15" s="11">
        <v>526.97</v>
      </c>
      <c r="E15">
        <f t="shared" si="0"/>
        <v>10782.953488813404</v>
      </c>
      <c r="F15">
        <f>((C15-C14)/C14)*100</f>
        <v>37.718637058120954</v>
      </c>
    </row>
    <row r="16" spans="1:6" x14ac:dyDescent="0.3">
      <c r="A16" t="s">
        <v>10</v>
      </c>
      <c r="B16">
        <v>2011</v>
      </c>
      <c r="C16" s="10">
        <v>8443675</v>
      </c>
      <c r="D16" s="11">
        <v>709.96</v>
      </c>
      <c r="E16">
        <f t="shared" si="0"/>
        <v>11893.170037748605</v>
      </c>
      <c r="F16">
        <f>((C16-C15)/C15)*100</f>
        <v>48.596262107568194</v>
      </c>
    </row>
    <row r="17" spans="1:6" x14ac:dyDescent="0.3">
      <c r="A17" t="s">
        <v>11</v>
      </c>
      <c r="B17">
        <v>1991</v>
      </c>
      <c r="C17" s="12">
        <v>1518235</v>
      </c>
      <c r="D17" s="13" t="s">
        <v>14</v>
      </c>
      <c r="E17">
        <f t="shared" si="0"/>
        <v>6956.0844863923767</v>
      </c>
    </row>
    <row r="18" spans="1:6" x14ac:dyDescent="0.3">
      <c r="A18" t="s">
        <v>11</v>
      </c>
      <c r="B18">
        <v>2001</v>
      </c>
      <c r="C18" s="12">
        <v>2322575</v>
      </c>
      <c r="D18" s="13" t="s">
        <v>15</v>
      </c>
      <c r="E18">
        <f t="shared" si="0"/>
        <v>4792.3716573126449</v>
      </c>
      <c r="F18">
        <f>((C18-C17)/C17)*100</f>
        <v>52.978623203917707</v>
      </c>
    </row>
    <row r="19" spans="1:6" x14ac:dyDescent="0.3">
      <c r="A19" t="s">
        <v>11</v>
      </c>
      <c r="B19">
        <v>2011</v>
      </c>
      <c r="C19" s="12">
        <v>3046163</v>
      </c>
      <c r="D19" s="13">
        <v>484.64</v>
      </c>
      <c r="E19">
        <f t="shared" si="0"/>
        <v>6285.4139154836585</v>
      </c>
      <c r="F19">
        <f>((C19-C18)/C18)*100</f>
        <v>31.154559056219927</v>
      </c>
    </row>
    <row r="20" spans="1:6" x14ac:dyDescent="0.3">
      <c r="A20" t="s">
        <v>12</v>
      </c>
      <c r="B20">
        <v>1991</v>
      </c>
      <c r="C20" s="14">
        <v>1619115</v>
      </c>
      <c r="D20" s="15">
        <v>310.10000000000002</v>
      </c>
      <c r="E20">
        <f t="shared" si="0"/>
        <v>5221.2673331183487</v>
      </c>
    </row>
    <row r="21" spans="1:6" x14ac:dyDescent="0.3">
      <c r="A21" t="s">
        <v>12</v>
      </c>
      <c r="B21">
        <v>2001</v>
      </c>
      <c r="C21" s="14">
        <v>2185927</v>
      </c>
      <c r="D21" s="15">
        <v>310.10000000000002</v>
      </c>
      <c r="E21">
        <f t="shared" si="0"/>
        <v>7049.1035149951622</v>
      </c>
      <c r="F21">
        <f>((C21-C20)/C20)*100</f>
        <v>35.007519539995613</v>
      </c>
    </row>
    <row r="22" spans="1:6" x14ac:dyDescent="0.3">
      <c r="A22" t="s">
        <v>12</v>
      </c>
      <c r="B22">
        <v>2011</v>
      </c>
      <c r="C22" s="14">
        <v>2817105</v>
      </c>
      <c r="D22" s="15">
        <v>348.8</v>
      </c>
      <c r="E22">
        <f t="shared" si="0"/>
        <v>8076.5625</v>
      </c>
      <c r="F22">
        <f>((C22-C21)/C21)*100</f>
        <v>28.874614751544769</v>
      </c>
    </row>
    <row r="23" spans="1:6" x14ac:dyDescent="0.3">
      <c r="A23" t="s">
        <v>13</v>
      </c>
      <c r="B23">
        <v>1991</v>
      </c>
      <c r="C23" s="16">
        <v>599306</v>
      </c>
      <c r="D23" s="17">
        <v>177.19</v>
      </c>
      <c r="E23">
        <f t="shared" si="0"/>
        <v>3382.2789096450138</v>
      </c>
    </row>
    <row r="24" spans="1:6" x14ac:dyDescent="0.3">
      <c r="A24" t="s">
        <v>13</v>
      </c>
      <c r="B24">
        <v>2001</v>
      </c>
      <c r="C24" s="16">
        <v>847093</v>
      </c>
      <c r="D24" s="17">
        <v>177.19</v>
      </c>
      <c r="E24">
        <f t="shared" si="0"/>
        <v>4780.7043286867201</v>
      </c>
      <c r="F24">
        <f>((C24-C23)/C23)*100</f>
        <v>41.345656475990559</v>
      </c>
    </row>
    <row r="25" spans="1:6" x14ac:dyDescent="0.3">
      <c r="A25" t="s">
        <v>13</v>
      </c>
      <c r="B25">
        <v>2011</v>
      </c>
      <c r="C25" s="16">
        <v>1073427</v>
      </c>
      <c r="D25" s="17">
        <v>175.12</v>
      </c>
      <c r="E25">
        <f t="shared" si="0"/>
        <v>6129.6653723161262</v>
      </c>
      <c r="F25">
        <f>((C25-C24)/C24)*100</f>
        <v>26.718908077389376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Sharad Dubey</cp:lastModifiedBy>
  <dcterms:created xsi:type="dcterms:W3CDTF">2025-11-07T19:32:16Z</dcterms:created>
  <dcterms:modified xsi:type="dcterms:W3CDTF">2025-11-07T19:48:37Z</dcterms:modified>
</cp:coreProperties>
</file>